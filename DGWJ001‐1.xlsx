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go\Desktop\"/>
    </mc:Choice>
  </mc:AlternateContent>
  <xr:revisionPtr revIDLastSave="0" documentId="13_ncr:1_{A3BAABBE-0822-4070-B000-BFECC12AB22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GWJ001‐1" sheetId="1" r:id="rId1"/>
    <sheet name="全量(元）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1" l="1"/>
  <c r="H16" i="1"/>
  <c r="H20" i="1"/>
  <c r="H18" i="1"/>
  <c r="H13" i="1"/>
  <c r="H15" i="1"/>
  <c r="H10" i="1"/>
  <c r="H19" i="1"/>
  <c r="H17" i="1"/>
  <c r="H14" i="1"/>
  <c r="H12" i="1"/>
  <c r="H11" i="1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L3" i="2" s="1"/>
</calcChain>
</file>

<file path=xl/sharedStrings.xml><?xml version="1.0" encoding="utf-8"?>
<sst xmlns="http://schemas.openxmlformats.org/spreadsheetml/2006/main" count="123" uniqueCount="27">
  <si>
    <t>発送日</t>
    <rPh sb="0" eb="3">
      <t>ハッソウビ</t>
    </rPh>
    <phoneticPr fontId="1"/>
  </si>
  <si>
    <t>英語名</t>
    <rPh sb="0" eb="2">
      <t>エイゴ</t>
    </rPh>
    <rPh sb="2" eb="3">
      <t>メイ</t>
    </rPh>
    <phoneticPr fontId="1"/>
  </si>
  <si>
    <t>Trading card</t>
    <phoneticPr fontId="1"/>
  </si>
  <si>
    <t>ポケモンMドリームex</t>
    <phoneticPr fontId="1"/>
  </si>
  <si>
    <t>単価(円)</t>
    <rPh sb="0" eb="2">
      <t>タンカ</t>
    </rPh>
    <rPh sb="3" eb="4">
      <t>エン</t>
    </rPh>
    <phoneticPr fontId="1"/>
  </si>
  <si>
    <t>ソニーエンジェル</t>
    <phoneticPr fontId="1"/>
  </si>
  <si>
    <t>Figure(SonnyAngel)</t>
    <phoneticPr fontId="1"/>
  </si>
  <si>
    <t>商品</t>
    <rPh sb="0" eb="2">
      <t>ショウヒン</t>
    </rPh>
    <phoneticPr fontId="1"/>
  </si>
  <si>
    <t>数量</t>
    <rPh sb="0" eb="2">
      <t>スウリョウ</t>
    </rPh>
    <phoneticPr fontId="1"/>
  </si>
  <si>
    <t>Stuffed Doll</t>
    <phoneticPr fontId="1"/>
  </si>
  <si>
    <t>ぬいぐるみ</t>
    <phoneticPr fontId="1"/>
  </si>
  <si>
    <t>金額</t>
    <rPh sb="0" eb="2">
      <t>キンガク</t>
    </rPh>
    <phoneticPr fontId="1"/>
  </si>
  <si>
    <t>ポケモンインフェルノX</t>
    <phoneticPr fontId="1"/>
  </si>
  <si>
    <t>ポケモンメガドリーム</t>
    <phoneticPr fontId="1"/>
  </si>
  <si>
    <t>発送料</t>
    <rPh sb="0" eb="3">
      <t>ハッソウリョウ</t>
    </rPh>
    <phoneticPr fontId="1"/>
  </si>
  <si>
    <t>合計(円):</t>
    <rPh sb="0" eb="2">
      <t>ゴウケイ</t>
    </rPh>
    <rPh sb="3" eb="4">
      <t>エン</t>
    </rPh>
    <phoneticPr fontId="1"/>
  </si>
  <si>
    <t>ポケモンゲーム</t>
    <phoneticPr fontId="1"/>
  </si>
  <si>
    <t>game</t>
    <phoneticPr fontId="1"/>
  </si>
  <si>
    <t>ポケモンテラスタル</t>
    <phoneticPr fontId="1"/>
  </si>
  <si>
    <t>振込先：</t>
    <rPh sb="0" eb="2">
      <t>フリコミ</t>
    </rPh>
    <rPh sb="2" eb="3">
      <t>サキ</t>
    </rPh>
    <phoneticPr fontId="1"/>
  </si>
  <si>
    <t>みずほ銀行</t>
    <rPh sb="3" eb="5">
      <t>ギンコウ</t>
    </rPh>
    <phoneticPr fontId="1"/>
  </si>
  <si>
    <t>普通口座：</t>
    <rPh sb="0" eb="2">
      <t>フツウ</t>
    </rPh>
    <rPh sb="2" eb="4">
      <t>コウザ</t>
    </rPh>
    <phoneticPr fontId="1"/>
  </si>
  <si>
    <t>大塚支店：</t>
    <rPh sb="0" eb="2">
      <t>オオツカ</t>
    </rPh>
    <rPh sb="2" eb="4">
      <t>シテン</t>
    </rPh>
    <phoneticPr fontId="1"/>
  </si>
  <si>
    <t>名義：</t>
    <rPh sb="0" eb="2">
      <t>メイギ</t>
    </rPh>
    <phoneticPr fontId="1"/>
  </si>
  <si>
    <t>オウ　グン</t>
    <phoneticPr fontId="1"/>
  </si>
  <si>
    <t>請求明細</t>
    <rPh sb="0" eb="2">
      <t>セイキュウ</t>
    </rPh>
    <rPh sb="2" eb="4">
      <t>メイサイ</t>
    </rPh>
    <phoneticPr fontId="1"/>
  </si>
  <si>
    <t>請求金額：</t>
    <rPh sb="0" eb="2">
      <t>セイキュウ</t>
    </rPh>
    <rPh sb="2" eb="4">
      <t>キンガク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</si>
</sst>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5" formatCode="&quot;¥&quot;#,##0;&quot;¥&quot;\-#,##0"/>
  </numFmts>
  <fonts count="4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b/>
      <sz val="12"/>
      <color theme="1"/>
      <name val="Yu Gothic"/>
      <family val="3"/>
      <charset val="128"/>
      <scheme val="minor"/>
    </font>
    <font>
      <b/>
      <sz val="11"/>
      <color theme="1"/>
      <name val="Yu Gothic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1" xfId="0" applyFont="1" applyFill="1" applyBorder="1" applyAlignment="1">
      <alignment horizontal="center"/>
    </xf>
    <xf numFmtId="56" fontId="0" fillId="0" borderId="1" xfId="0" applyNumberFormat="1" applyBorder="1"/>
    <xf numFmtId="0" fontId="0" fillId="0" borderId="1" xfId="0" applyBorder="1"/>
    <xf numFmtId="56" fontId="0" fillId="0" borderId="2" xfId="0" applyNumberFormat="1" applyBorder="1"/>
    <xf numFmtId="0" fontId="0" fillId="0" borderId="3" xfId="0" applyBorder="1"/>
    <xf numFmtId="0" fontId="0" fillId="3" borderId="1" xfId="0" applyFill="1" applyBorder="1"/>
    <xf numFmtId="5" fontId="0" fillId="0" borderId="1" xfId="0" applyNumberFormat="1" applyBorder="1"/>
    <xf numFmtId="3" fontId="0" fillId="0" borderId="1" xfId="0" applyNumberFormat="1" applyBorder="1"/>
    <xf numFmtId="5" fontId="0" fillId="0" borderId="0" xfId="0" applyNumberFormat="1"/>
    <xf numFmtId="0" fontId="0" fillId="0" borderId="1" xfId="0" applyFill="1" applyBorder="1"/>
    <xf numFmtId="3" fontId="0" fillId="0" borderId="1" xfId="0" applyNumberFormat="1" applyFill="1" applyBorder="1"/>
    <xf numFmtId="0" fontId="3" fillId="0" borderId="0" xfId="0" applyFont="1"/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left"/>
    </xf>
    <xf numFmtId="5" fontId="3" fillId="0" borderId="1" xfId="0" applyNumberFormat="1" applyFont="1" applyBorder="1" applyAlignment="1">
      <alignment horizontal="center"/>
    </xf>
    <xf numFmtId="0" fontId="2" fillId="4" borderId="1" xfId="0" applyFont="1" applyFill="1" applyBorder="1" applyAlignment="1">
      <alignment horizont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N20"/>
  <sheetViews>
    <sheetView tabSelected="1" zoomScale="89" zoomScaleNormal="89" workbookViewId="0"/>
  </sheetViews>
  <sheetFormatPr defaultRowHeight="18"/>
  <cols>
    <col min="3" max="3" width="15.08203125" customWidth="1"/>
    <col min="4" max="4" width="20" bestFit="1" customWidth="1"/>
    <col min="5" max="5" width="18.58203125" bestFit="1" customWidth="1"/>
    <col min="12" max="12" width="10.25" bestFit="1" customWidth="1"/>
  </cols>
  <sheetData>
    <row r="2" spans="3:14">
      <c r="C2" s="13" t="s">
        <v>19</v>
      </c>
      <c r="D2" s="15" t="s">
        <v>20</v>
      </c>
      <c r="E2" s="15"/>
    </row>
    <row r="3" spans="3:14">
      <c r="C3" s="13"/>
      <c r="D3" s="15" t="s">
        <v>22</v>
      </c>
      <c r="E3" s="16">
        <v>193</v>
      </c>
    </row>
    <row r="4" spans="3:14">
      <c r="C4" s="13"/>
      <c r="D4" s="15" t="s">
        <v>21</v>
      </c>
      <c r="E4" s="16">
        <v>2339583</v>
      </c>
    </row>
    <row r="5" spans="3:14">
      <c r="C5" s="13"/>
      <c r="D5" s="15" t="s">
        <v>23</v>
      </c>
      <c r="E5" s="16" t="s">
        <v>24</v>
      </c>
    </row>
    <row r="6" spans="3:14">
      <c r="C6" s="14" t="s">
        <v>26</v>
      </c>
      <c r="D6" s="17">
        <f>SUM(H10:I20)</f>
        <v>749990</v>
      </c>
      <c r="E6" s="17"/>
    </row>
    <row r="8" spans="3:14">
      <c r="C8" s="12" t="s">
        <v>25</v>
      </c>
      <c r="N8" s="9"/>
    </row>
    <row r="9" spans="3:14" ht="20">
      <c r="C9" s="18" t="s">
        <v>0</v>
      </c>
      <c r="D9" s="18" t="s">
        <v>7</v>
      </c>
      <c r="E9" s="18" t="s">
        <v>1</v>
      </c>
      <c r="F9" s="18" t="s">
        <v>4</v>
      </c>
      <c r="G9" s="18" t="s">
        <v>8</v>
      </c>
      <c r="H9" s="18" t="s">
        <v>11</v>
      </c>
      <c r="I9" s="18" t="s">
        <v>14</v>
      </c>
    </row>
    <row r="10" spans="3:14">
      <c r="C10" s="2">
        <v>45944</v>
      </c>
      <c r="D10" s="3" t="s">
        <v>12</v>
      </c>
      <c r="E10" s="3" t="s">
        <v>2</v>
      </c>
      <c r="F10" s="3">
        <v>180</v>
      </c>
      <c r="G10" s="3">
        <v>374</v>
      </c>
      <c r="H10" s="8">
        <f t="shared" ref="H10:H20" si="0">F10*G10</f>
        <v>67320</v>
      </c>
      <c r="I10" s="8">
        <v>36050</v>
      </c>
    </row>
    <row r="11" spans="3:14">
      <c r="C11" s="3"/>
      <c r="D11" s="3" t="s">
        <v>5</v>
      </c>
      <c r="E11" s="3" t="s">
        <v>6</v>
      </c>
      <c r="F11" s="3">
        <v>1100</v>
      </c>
      <c r="G11" s="3">
        <v>120</v>
      </c>
      <c r="H11" s="8">
        <f t="shared" si="0"/>
        <v>132000</v>
      </c>
      <c r="I11" s="8"/>
    </row>
    <row r="12" spans="3:14">
      <c r="C12" s="2">
        <v>45943</v>
      </c>
      <c r="D12" s="3" t="s">
        <v>5</v>
      </c>
      <c r="E12" s="3" t="s">
        <v>6</v>
      </c>
      <c r="F12" s="3">
        <v>1300</v>
      </c>
      <c r="G12" s="3">
        <v>48</v>
      </c>
      <c r="H12" s="8">
        <f t="shared" si="0"/>
        <v>62400</v>
      </c>
      <c r="I12" s="8">
        <v>21400</v>
      </c>
    </row>
    <row r="13" spans="3:14">
      <c r="C13" s="2">
        <v>45936</v>
      </c>
      <c r="D13" s="3" t="s">
        <v>12</v>
      </c>
      <c r="E13" s="3" t="s">
        <v>2</v>
      </c>
      <c r="F13" s="3">
        <v>180</v>
      </c>
      <c r="G13" s="3">
        <v>126</v>
      </c>
      <c r="H13" s="8">
        <f t="shared" si="0"/>
        <v>22680</v>
      </c>
      <c r="I13" s="8">
        <v>29600</v>
      </c>
    </row>
    <row r="14" spans="3:14">
      <c r="C14" s="3"/>
      <c r="D14" s="3" t="s">
        <v>5</v>
      </c>
      <c r="E14" s="3" t="s">
        <v>6</v>
      </c>
      <c r="F14" s="3">
        <v>8400</v>
      </c>
      <c r="G14" s="3">
        <v>1</v>
      </c>
      <c r="H14" s="8">
        <f t="shared" si="0"/>
        <v>8400</v>
      </c>
      <c r="I14" s="8"/>
    </row>
    <row r="15" spans="3:14">
      <c r="C15" s="2">
        <v>45935</v>
      </c>
      <c r="D15" s="3" t="s">
        <v>12</v>
      </c>
      <c r="E15" s="3" t="s">
        <v>2</v>
      </c>
      <c r="F15" s="3">
        <v>180</v>
      </c>
      <c r="G15" s="3">
        <v>160</v>
      </c>
      <c r="H15" s="8">
        <f t="shared" si="0"/>
        <v>28800</v>
      </c>
      <c r="I15" s="8">
        <v>14050</v>
      </c>
    </row>
    <row r="16" spans="3:14">
      <c r="C16" s="2"/>
      <c r="D16" s="3" t="s">
        <v>18</v>
      </c>
      <c r="E16" s="3" t="s">
        <v>2</v>
      </c>
      <c r="F16" s="3">
        <v>550</v>
      </c>
      <c r="G16" s="3">
        <v>15</v>
      </c>
      <c r="H16" s="8">
        <f t="shared" si="0"/>
        <v>8250</v>
      </c>
      <c r="I16" s="8"/>
    </row>
    <row r="17" spans="3:9">
      <c r="C17" s="3"/>
      <c r="D17" s="3" t="s">
        <v>5</v>
      </c>
      <c r="E17" s="3" t="s">
        <v>6</v>
      </c>
      <c r="F17" s="3">
        <v>1210</v>
      </c>
      <c r="G17" s="3">
        <v>140</v>
      </c>
      <c r="H17" s="8">
        <f t="shared" si="0"/>
        <v>169400</v>
      </c>
      <c r="I17" s="8"/>
    </row>
    <row r="18" spans="3:9">
      <c r="C18" s="3"/>
      <c r="D18" s="3" t="s">
        <v>10</v>
      </c>
      <c r="E18" s="3" t="s">
        <v>9</v>
      </c>
      <c r="F18" s="3">
        <v>1375</v>
      </c>
      <c r="G18" s="3">
        <v>48</v>
      </c>
      <c r="H18" s="8">
        <f t="shared" si="0"/>
        <v>66000</v>
      </c>
      <c r="I18" s="8"/>
    </row>
    <row r="19" spans="3:9">
      <c r="C19" s="3"/>
      <c r="D19" s="3" t="s">
        <v>5</v>
      </c>
      <c r="E19" s="3" t="s">
        <v>6</v>
      </c>
      <c r="F19" s="10">
        <v>1430</v>
      </c>
      <c r="G19" s="10">
        <v>48</v>
      </c>
      <c r="H19" s="11">
        <f t="shared" si="0"/>
        <v>68640</v>
      </c>
      <c r="I19" s="3"/>
    </row>
    <row r="20" spans="3:9">
      <c r="C20" s="3"/>
      <c r="D20" s="3" t="s">
        <v>16</v>
      </c>
      <c r="E20" s="3" t="s">
        <v>17</v>
      </c>
      <c r="F20" s="10">
        <v>1500</v>
      </c>
      <c r="G20" s="10">
        <v>10</v>
      </c>
      <c r="H20" s="11">
        <f t="shared" si="0"/>
        <v>15000</v>
      </c>
      <c r="I20" s="3"/>
    </row>
  </sheetData>
  <mergeCells count="2">
    <mergeCell ref="C2:C5"/>
    <mergeCell ref="D6:E6"/>
  </mergeCells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48A3B-550E-4BE3-9D23-193B5229147D}">
  <dimension ref="C2:L41"/>
  <sheetViews>
    <sheetView zoomScale="89" zoomScaleNormal="89" workbookViewId="0">
      <selection activeCell="G33" sqref="G33"/>
    </sheetView>
  </sheetViews>
  <sheetFormatPr defaultRowHeight="18"/>
  <cols>
    <col min="3" max="3" width="15.08203125" customWidth="1"/>
    <col min="4" max="4" width="20" bestFit="1" customWidth="1"/>
    <col min="5" max="5" width="18.58203125" bestFit="1" customWidth="1"/>
    <col min="12" max="12" width="10.25" bestFit="1" customWidth="1"/>
  </cols>
  <sheetData>
    <row r="2" spans="3:12" ht="20">
      <c r="C2" s="1" t="s">
        <v>0</v>
      </c>
      <c r="D2" s="1" t="s">
        <v>7</v>
      </c>
      <c r="E2" s="1" t="s">
        <v>1</v>
      </c>
      <c r="F2" s="1" t="s">
        <v>4</v>
      </c>
      <c r="G2" s="1" t="s">
        <v>8</v>
      </c>
      <c r="H2" s="1" t="s">
        <v>11</v>
      </c>
      <c r="I2" s="1" t="s">
        <v>14</v>
      </c>
    </row>
    <row r="3" spans="3:12">
      <c r="C3" s="4">
        <v>45994</v>
      </c>
      <c r="D3" s="3" t="s">
        <v>3</v>
      </c>
      <c r="E3" s="3" t="s">
        <v>2</v>
      </c>
      <c r="F3" s="3">
        <v>180</v>
      </c>
      <c r="G3" s="3">
        <v>300</v>
      </c>
      <c r="H3" s="8">
        <f>F3*G3</f>
        <v>54000</v>
      </c>
      <c r="I3" s="8">
        <v>21400</v>
      </c>
      <c r="K3" s="6" t="s">
        <v>15</v>
      </c>
      <c r="L3" s="7">
        <f>SUM(H3:I41)</f>
        <v>3733440</v>
      </c>
    </row>
    <row r="4" spans="3:12">
      <c r="C4" s="5"/>
      <c r="D4" s="3" t="s">
        <v>5</v>
      </c>
      <c r="E4" s="3" t="s">
        <v>6</v>
      </c>
      <c r="F4" s="3">
        <v>1430</v>
      </c>
      <c r="G4" s="3">
        <v>60</v>
      </c>
      <c r="H4" s="8">
        <f t="shared" ref="H4:H41" si="0">F4*G4</f>
        <v>85800</v>
      </c>
      <c r="I4" s="8"/>
    </row>
    <row r="5" spans="3:12">
      <c r="C5" s="4">
        <v>45989</v>
      </c>
      <c r="D5" s="3" t="s">
        <v>3</v>
      </c>
      <c r="E5" s="3" t="s">
        <v>2</v>
      </c>
      <c r="F5" s="3">
        <v>180</v>
      </c>
      <c r="G5" s="3">
        <v>240</v>
      </c>
      <c r="H5" s="8">
        <f t="shared" si="0"/>
        <v>43200</v>
      </c>
      <c r="I5" s="8">
        <v>23500</v>
      </c>
    </row>
    <row r="6" spans="3:12">
      <c r="C6" s="5"/>
      <c r="D6" s="3" t="s">
        <v>5</v>
      </c>
      <c r="E6" s="3" t="s">
        <v>6</v>
      </c>
      <c r="F6" s="3">
        <v>1430</v>
      </c>
      <c r="G6" s="3">
        <v>70</v>
      </c>
      <c r="H6" s="8">
        <f t="shared" si="0"/>
        <v>100100</v>
      </c>
      <c r="I6" s="8"/>
    </row>
    <row r="7" spans="3:12" ht="26" customHeight="1">
      <c r="C7" s="2">
        <v>45985</v>
      </c>
      <c r="D7" s="3" t="s">
        <v>5</v>
      </c>
      <c r="E7" s="3" t="s">
        <v>6</v>
      </c>
      <c r="F7" s="3">
        <v>1100</v>
      </c>
      <c r="G7" s="3">
        <v>180</v>
      </c>
      <c r="H7" s="8">
        <f t="shared" si="0"/>
        <v>198000</v>
      </c>
      <c r="I7" s="8">
        <v>34000</v>
      </c>
    </row>
    <row r="8" spans="3:12">
      <c r="C8" s="4">
        <v>45981</v>
      </c>
      <c r="D8" s="3" t="s">
        <v>12</v>
      </c>
      <c r="E8" s="3" t="s">
        <v>2</v>
      </c>
      <c r="F8" s="3">
        <v>180</v>
      </c>
      <c r="G8" s="3">
        <v>420</v>
      </c>
      <c r="H8" s="8">
        <f t="shared" si="0"/>
        <v>75600</v>
      </c>
      <c r="I8" s="8">
        <v>19300</v>
      </c>
    </row>
    <row r="9" spans="3:12">
      <c r="C9" s="5"/>
      <c r="D9" s="3" t="s">
        <v>5</v>
      </c>
      <c r="E9" s="3" t="s">
        <v>6</v>
      </c>
      <c r="F9" s="3">
        <v>120</v>
      </c>
      <c r="G9" s="3">
        <v>12</v>
      </c>
      <c r="H9" s="8">
        <f t="shared" si="0"/>
        <v>1440</v>
      </c>
      <c r="I9" s="8"/>
    </row>
    <row r="10" spans="3:12">
      <c r="C10" s="2">
        <v>45981</v>
      </c>
      <c r="D10" s="3" t="s">
        <v>12</v>
      </c>
      <c r="E10" s="3" t="s">
        <v>2</v>
      </c>
      <c r="F10" s="3">
        <v>180</v>
      </c>
      <c r="G10" s="3">
        <v>72</v>
      </c>
      <c r="H10" s="8">
        <f t="shared" si="0"/>
        <v>12960</v>
      </c>
      <c r="I10" s="8">
        <v>19300</v>
      </c>
    </row>
    <row r="11" spans="3:12">
      <c r="C11" s="3"/>
      <c r="D11" s="3" t="s">
        <v>5</v>
      </c>
      <c r="E11" s="3" t="s">
        <v>6</v>
      </c>
      <c r="F11" s="3">
        <v>1100</v>
      </c>
      <c r="G11" s="3">
        <v>80</v>
      </c>
      <c r="H11" s="8">
        <f t="shared" si="0"/>
        <v>88000</v>
      </c>
      <c r="I11" s="8"/>
    </row>
    <row r="12" spans="3:12">
      <c r="C12" s="2">
        <v>45977</v>
      </c>
      <c r="D12" s="3" t="s">
        <v>12</v>
      </c>
      <c r="E12" s="3" t="s">
        <v>2</v>
      </c>
      <c r="F12" s="3">
        <v>180</v>
      </c>
      <c r="G12" s="3">
        <v>600</v>
      </c>
      <c r="H12" s="8">
        <f t="shared" si="0"/>
        <v>108000</v>
      </c>
      <c r="I12" s="8">
        <v>38200</v>
      </c>
    </row>
    <row r="13" spans="3:12">
      <c r="C13" s="3"/>
      <c r="D13" s="3" t="s">
        <v>5</v>
      </c>
      <c r="E13" s="3" t="s">
        <v>6</v>
      </c>
      <c r="F13" s="3">
        <v>300</v>
      </c>
      <c r="G13" s="3">
        <v>200</v>
      </c>
      <c r="H13" s="8">
        <f t="shared" si="0"/>
        <v>60000</v>
      </c>
      <c r="I13" s="8"/>
    </row>
    <row r="14" spans="3:12">
      <c r="C14" s="3"/>
      <c r="D14" s="3" t="s">
        <v>10</v>
      </c>
      <c r="E14" s="3" t="s">
        <v>9</v>
      </c>
      <c r="F14" s="3">
        <v>1800</v>
      </c>
      <c r="G14" s="3">
        <v>15</v>
      </c>
      <c r="H14" s="8">
        <f t="shared" si="0"/>
        <v>27000</v>
      </c>
      <c r="I14" s="8"/>
    </row>
    <row r="15" spans="3:12">
      <c r="C15" s="2">
        <v>45972</v>
      </c>
      <c r="D15" s="3" t="s">
        <v>12</v>
      </c>
      <c r="E15" s="3" t="s">
        <v>2</v>
      </c>
      <c r="F15" s="3">
        <v>180</v>
      </c>
      <c r="G15" s="3">
        <v>300</v>
      </c>
      <c r="H15" s="8">
        <f t="shared" si="0"/>
        <v>54000</v>
      </c>
      <c r="I15" s="8">
        <v>27700</v>
      </c>
    </row>
    <row r="16" spans="3:12">
      <c r="C16" s="3"/>
      <c r="D16" s="3" t="s">
        <v>5</v>
      </c>
      <c r="E16" s="3" t="s">
        <v>6</v>
      </c>
      <c r="F16" s="3">
        <v>1210</v>
      </c>
      <c r="G16" s="3">
        <v>120</v>
      </c>
      <c r="H16" s="8">
        <f t="shared" si="0"/>
        <v>145200</v>
      </c>
      <c r="I16" s="8"/>
    </row>
    <row r="17" spans="3:9">
      <c r="C17" s="2">
        <v>45970</v>
      </c>
      <c r="D17" s="3" t="s">
        <v>12</v>
      </c>
      <c r="E17" s="3" t="s">
        <v>2</v>
      </c>
      <c r="F17" s="3">
        <v>180</v>
      </c>
      <c r="G17" s="3">
        <v>20</v>
      </c>
      <c r="H17" s="8">
        <f t="shared" si="0"/>
        <v>3600</v>
      </c>
      <c r="I17" s="8">
        <v>44900</v>
      </c>
    </row>
    <row r="18" spans="3:9">
      <c r="C18" s="3"/>
      <c r="D18" s="3" t="s">
        <v>5</v>
      </c>
      <c r="E18" s="3" t="s">
        <v>6</v>
      </c>
      <c r="F18" s="3">
        <v>1430</v>
      </c>
      <c r="G18" s="3">
        <v>60</v>
      </c>
      <c r="H18" s="8">
        <f t="shared" si="0"/>
        <v>85800</v>
      </c>
      <c r="I18" s="8"/>
    </row>
    <row r="19" spans="3:9">
      <c r="C19" s="3"/>
      <c r="D19" s="3" t="s">
        <v>5</v>
      </c>
      <c r="E19" s="3" t="s">
        <v>6</v>
      </c>
      <c r="F19" s="3">
        <v>550</v>
      </c>
      <c r="G19" s="3">
        <v>90</v>
      </c>
      <c r="H19" s="8">
        <f t="shared" si="0"/>
        <v>49500</v>
      </c>
      <c r="I19" s="8"/>
    </row>
    <row r="20" spans="3:9">
      <c r="C20" s="2"/>
      <c r="D20" s="3" t="s">
        <v>10</v>
      </c>
      <c r="E20" s="3" t="s">
        <v>9</v>
      </c>
      <c r="F20" s="3">
        <v>1000</v>
      </c>
      <c r="G20" s="3">
        <v>60</v>
      </c>
      <c r="H20" s="8">
        <f t="shared" si="0"/>
        <v>60000</v>
      </c>
      <c r="I20" s="8"/>
    </row>
    <row r="21" spans="3:9">
      <c r="C21" s="2">
        <v>45967</v>
      </c>
      <c r="D21" s="3" t="s">
        <v>5</v>
      </c>
      <c r="E21" s="3" t="s">
        <v>6</v>
      </c>
      <c r="F21" s="3">
        <v>1210</v>
      </c>
      <c r="G21" s="3">
        <v>140</v>
      </c>
      <c r="H21" s="8">
        <f t="shared" si="0"/>
        <v>169400</v>
      </c>
      <c r="I21" s="8">
        <v>23500</v>
      </c>
    </row>
    <row r="22" spans="3:9">
      <c r="C22" s="2">
        <v>45964</v>
      </c>
      <c r="D22" s="3" t="s">
        <v>10</v>
      </c>
      <c r="E22" s="3" t="s">
        <v>9</v>
      </c>
      <c r="F22" s="3">
        <v>1100</v>
      </c>
      <c r="G22" s="3">
        <v>150</v>
      </c>
      <c r="H22" s="8">
        <f t="shared" si="0"/>
        <v>165000</v>
      </c>
      <c r="I22" s="8">
        <v>27700</v>
      </c>
    </row>
    <row r="23" spans="3:9">
      <c r="C23" s="2">
        <v>45962</v>
      </c>
      <c r="D23" s="3" t="s">
        <v>5</v>
      </c>
      <c r="E23" s="3" t="s">
        <v>6</v>
      </c>
      <c r="F23" s="3">
        <v>1210</v>
      </c>
      <c r="G23" s="3">
        <v>150</v>
      </c>
      <c r="H23" s="8">
        <f t="shared" si="0"/>
        <v>181500</v>
      </c>
      <c r="I23" s="8">
        <v>36100</v>
      </c>
    </row>
    <row r="24" spans="3:9">
      <c r="C24" s="2">
        <v>45955</v>
      </c>
      <c r="D24" s="3" t="s">
        <v>12</v>
      </c>
      <c r="E24" s="3" t="s">
        <v>2</v>
      </c>
      <c r="F24" s="3">
        <v>180</v>
      </c>
      <c r="G24" s="3">
        <v>120</v>
      </c>
      <c r="H24" s="8">
        <f t="shared" si="0"/>
        <v>21600</v>
      </c>
      <c r="I24" s="8">
        <v>36100</v>
      </c>
    </row>
    <row r="25" spans="3:9">
      <c r="C25" s="3"/>
      <c r="D25" s="3" t="s">
        <v>5</v>
      </c>
      <c r="E25" s="3" t="s">
        <v>6</v>
      </c>
      <c r="F25" s="3">
        <v>1210</v>
      </c>
      <c r="G25" s="3">
        <v>100</v>
      </c>
      <c r="H25" s="8">
        <f t="shared" si="0"/>
        <v>121000</v>
      </c>
      <c r="I25" s="8"/>
    </row>
    <row r="26" spans="3:9">
      <c r="C26" s="3"/>
      <c r="D26" s="3" t="s">
        <v>5</v>
      </c>
      <c r="E26" s="3" t="s">
        <v>6</v>
      </c>
      <c r="F26" s="3">
        <v>550</v>
      </c>
      <c r="G26" s="3">
        <v>96</v>
      </c>
      <c r="H26" s="8">
        <f t="shared" si="0"/>
        <v>52800</v>
      </c>
      <c r="I26" s="8"/>
    </row>
    <row r="27" spans="3:9">
      <c r="C27" s="2">
        <v>45944</v>
      </c>
      <c r="D27" s="3" t="s">
        <v>12</v>
      </c>
      <c r="E27" s="3" t="s">
        <v>2</v>
      </c>
      <c r="F27" s="3">
        <v>150</v>
      </c>
      <c r="G27" s="3">
        <v>400</v>
      </c>
      <c r="H27" s="8">
        <f t="shared" si="0"/>
        <v>60000</v>
      </c>
      <c r="I27" s="8">
        <v>36100</v>
      </c>
    </row>
    <row r="28" spans="3:9">
      <c r="C28" s="3"/>
      <c r="D28" s="3" t="s">
        <v>5</v>
      </c>
      <c r="E28" s="3" t="s">
        <v>6</v>
      </c>
      <c r="F28" s="3">
        <v>900</v>
      </c>
      <c r="G28" s="3">
        <v>150</v>
      </c>
      <c r="H28" s="8">
        <f t="shared" si="0"/>
        <v>135000</v>
      </c>
      <c r="I28" s="8"/>
    </row>
    <row r="29" spans="3:9">
      <c r="C29" s="2">
        <v>45943</v>
      </c>
      <c r="D29" s="3" t="s">
        <v>5</v>
      </c>
      <c r="E29" s="3" t="s">
        <v>6</v>
      </c>
      <c r="F29" s="3">
        <v>900</v>
      </c>
      <c r="G29" s="3">
        <v>200</v>
      </c>
      <c r="H29" s="8">
        <f t="shared" si="0"/>
        <v>180000</v>
      </c>
      <c r="I29" s="8">
        <v>21400</v>
      </c>
    </row>
    <row r="30" spans="3:9">
      <c r="C30" s="2">
        <v>45936</v>
      </c>
      <c r="D30" s="3" t="s">
        <v>12</v>
      </c>
      <c r="E30" s="3" t="s">
        <v>2</v>
      </c>
      <c r="F30" s="3">
        <v>180</v>
      </c>
      <c r="G30" s="3">
        <v>60</v>
      </c>
      <c r="H30" s="8">
        <f t="shared" si="0"/>
        <v>10800</v>
      </c>
      <c r="I30" s="8">
        <v>29600</v>
      </c>
    </row>
    <row r="31" spans="3:9">
      <c r="C31" s="3"/>
      <c r="D31" s="3" t="s">
        <v>5</v>
      </c>
      <c r="E31" s="3" t="s">
        <v>6</v>
      </c>
      <c r="F31" s="3">
        <v>1210</v>
      </c>
      <c r="G31" s="3">
        <v>150</v>
      </c>
      <c r="H31" s="8">
        <f t="shared" si="0"/>
        <v>181500</v>
      </c>
      <c r="I31" s="8"/>
    </row>
    <row r="32" spans="3:9">
      <c r="C32" s="2">
        <v>45935</v>
      </c>
      <c r="D32" s="3" t="s">
        <v>12</v>
      </c>
      <c r="E32" s="3" t="s">
        <v>2</v>
      </c>
      <c r="F32" s="3">
        <v>180</v>
      </c>
      <c r="G32" s="3">
        <v>245</v>
      </c>
      <c r="H32" s="8">
        <f t="shared" si="0"/>
        <v>44100</v>
      </c>
      <c r="I32" s="8">
        <v>14050</v>
      </c>
    </row>
    <row r="33" spans="3:9">
      <c r="C33" s="3"/>
      <c r="D33" s="3" t="s">
        <v>5</v>
      </c>
      <c r="E33" s="3" t="s">
        <v>6</v>
      </c>
      <c r="F33" s="3">
        <v>1210</v>
      </c>
      <c r="G33" s="3">
        <v>24</v>
      </c>
      <c r="H33" s="8">
        <f t="shared" si="0"/>
        <v>29040</v>
      </c>
      <c r="I33" s="8"/>
    </row>
    <row r="34" spans="3:9">
      <c r="C34" s="3"/>
      <c r="D34" s="3" t="s">
        <v>10</v>
      </c>
      <c r="E34" s="3" t="s">
        <v>9</v>
      </c>
      <c r="F34" s="3">
        <v>1400</v>
      </c>
      <c r="G34" s="3">
        <v>6</v>
      </c>
      <c r="H34" s="8">
        <f t="shared" si="0"/>
        <v>8400</v>
      </c>
      <c r="I34" s="8"/>
    </row>
    <row r="35" spans="3:9">
      <c r="C35" s="2">
        <v>45929</v>
      </c>
      <c r="D35" s="3" t="s">
        <v>12</v>
      </c>
      <c r="E35" s="3" t="s">
        <v>2</v>
      </c>
      <c r="F35" s="3">
        <v>180</v>
      </c>
      <c r="G35" s="3">
        <v>300</v>
      </c>
      <c r="H35" s="8">
        <f t="shared" si="0"/>
        <v>54000</v>
      </c>
      <c r="I35" s="8">
        <v>11950</v>
      </c>
    </row>
    <row r="36" spans="3:9">
      <c r="C36" s="2">
        <v>45927</v>
      </c>
      <c r="D36" s="3" t="s">
        <v>5</v>
      </c>
      <c r="E36" s="3" t="s">
        <v>6</v>
      </c>
      <c r="F36" s="3">
        <v>1540</v>
      </c>
      <c r="G36" s="3">
        <v>60</v>
      </c>
      <c r="H36" s="8">
        <f t="shared" si="0"/>
        <v>92400</v>
      </c>
      <c r="I36" s="8">
        <v>10900</v>
      </c>
    </row>
    <row r="37" spans="3:9">
      <c r="C37" s="2">
        <v>45926</v>
      </c>
      <c r="D37" s="3" t="s">
        <v>12</v>
      </c>
      <c r="E37" s="3" t="s">
        <v>2</v>
      </c>
      <c r="F37" s="3">
        <v>180</v>
      </c>
      <c r="G37" s="3">
        <v>1100</v>
      </c>
      <c r="H37" s="8">
        <f t="shared" si="0"/>
        <v>198000</v>
      </c>
      <c r="I37" s="8">
        <v>29800</v>
      </c>
    </row>
    <row r="38" spans="3:9">
      <c r="C38" s="2">
        <v>45916</v>
      </c>
      <c r="D38" s="3" t="s">
        <v>13</v>
      </c>
      <c r="E38" s="3" t="s">
        <v>2</v>
      </c>
      <c r="F38" s="3">
        <v>180</v>
      </c>
      <c r="G38" s="3">
        <v>260</v>
      </c>
      <c r="H38" s="8">
        <f t="shared" si="0"/>
        <v>46800</v>
      </c>
      <c r="I38" s="8">
        <v>9950</v>
      </c>
    </row>
    <row r="39" spans="3:9">
      <c r="C39" s="2">
        <v>45916</v>
      </c>
      <c r="D39" s="3" t="s">
        <v>13</v>
      </c>
      <c r="E39" s="3" t="s">
        <v>2</v>
      </c>
      <c r="F39" s="3">
        <v>180</v>
      </c>
      <c r="G39" s="3">
        <v>380</v>
      </c>
      <c r="H39" s="8">
        <f t="shared" si="0"/>
        <v>68400</v>
      </c>
      <c r="I39" s="8">
        <v>16750</v>
      </c>
    </row>
    <row r="40" spans="3:9">
      <c r="C40" s="2">
        <v>45912</v>
      </c>
      <c r="D40" s="3" t="s">
        <v>13</v>
      </c>
      <c r="E40" s="3" t="s">
        <v>2</v>
      </c>
      <c r="F40" s="3">
        <v>180</v>
      </c>
      <c r="G40" s="3">
        <v>400</v>
      </c>
      <c r="H40" s="8">
        <f t="shared" si="0"/>
        <v>72000</v>
      </c>
      <c r="I40" s="8">
        <v>53300</v>
      </c>
    </row>
    <row r="41" spans="3:9">
      <c r="C41" s="3"/>
      <c r="D41" s="3" t="s">
        <v>10</v>
      </c>
      <c r="E41" s="3" t="s">
        <v>9</v>
      </c>
      <c r="F41" s="3">
        <v>1000</v>
      </c>
      <c r="G41" s="3">
        <v>4</v>
      </c>
      <c r="H41" s="8">
        <f t="shared" si="0"/>
        <v>4000</v>
      </c>
      <c r="I41" s="8"/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DGWJ001‐1</vt:lpstr>
      <vt:lpstr>全量(元）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Oh Gung</dc:creator>
  <cp:lastModifiedBy>王 軍</cp:lastModifiedBy>
  <dcterms:created xsi:type="dcterms:W3CDTF">2015-06-05T18:19:34Z</dcterms:created>
  <dcterms:modified xsi:type="dcterms:W3CDTF">2026-03-10T14:27:38Z</dcterms:modified>
</cp:coreProperties>
</file>